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awhite_my_yearupunited_org/Documents/"/>
    </mc:Choice>
  </mc:AlternateContent>
  <xr:revisionPtr revIDLastSave="314" documentId="8_{E4547233-8357-40F8-9295-0D1187182685}" xr6:coauthVersionLast="47" xr6:coauthVersionMax="47" xr10:uidLastSave="{3E60C37F-C6C9-4755-A531-BD5921C0BE5D}"/>
  <bookViews>
    <workbookView xWindow="-108" yWindow="-108" windowWidth="23256" windowHeight="13896" activeTab="2" xr2:uid="{54AE9795-AA84-46FA-AFFA-41C0D11774FE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term'!$A$1:$E$8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G7" i="3"/>
  <c r="H1" i="1"/>
</calcChain>
</file>

<file path=xl/sharedStrings.xml><?xml version="1.0" encoding="utf-8"?>
<sst xmlns="http://schemas.openxmlformats.org/spreadsheetml/2006/main" count="154" uniqueCount="68">
  <si>
    <t>Region</t>
  </si>
  <si>
    <t>North Carolina</t>
  </si>
  <si>
    <t>South Carolina</t>
  </si>
  <si>
    <t>Kentucky</t>
  </si>
  <si>
    <t>Alabama</t>
  </si>
  <si>
    <t>Tennessee</t>
  </si>
  <si>
    <t>West Virginia</t>
  </si>
  <si>
    <t>Indiana</t>
  </si>
  <si>
    <t>Illinois</t>
  </si>
  <si>
    <t>Ohio</t>
  </si>
  <si>
    <t>Utah</t>
  </si>
  <si>
    <t>Delaware</t>
  </si>
  <si>
    <t>Rhode Island</t>
  </si>
  <si>
    <t>Oklahoma</t>
  </si>
  <si>
    <t>Michigan</t>
  </si>
  <si>
    <t>Georgia</t>
  </si>
  <si>
    <t>Arkansas</t>
  </si>
  <si>
    <t>Maryland</t>
  </si>
  <si>
    <t>Missouri</t>
  </si>
  <si>
    <t>Virginia</t>
  </si>
  <si>
    <t>Texas</t>
  </si>
  <si>
    <t>Arizona</t>
  </si>
  <si>
    <t>Connecticut</t>
  </si>
  <si>
    <t>Mississippi</t>
  </si>
  <si>
    <t>Pennsylvania</t>
  </si>
  <si>
    <t>Florida</t>
  </si>
  <si>
    <t>Nevada</t>
  </si>
  <si>
    <t>Kansas</t>
  </si>
  <si>
    <t>New Jersey</t>
  </si>
  <si>
    <t>California</t>
  </si>
  <si>
    <t>Wisconsin</t>
  </si>
  <si>
    <t>Idaho</t>
  </si>
  <si>
    <t>Nebraska</t>
  </si>
  <si>
    <t>Iowa</t>
  </si>
  <si>
    <t>North Dakota</t>
  </si>
  <si>
    <t>Minnesota</t>
  </si>
  <si>
    <t>New York</t>
  </si>
  <si>
    <t>Louisiana</t>
  </si>
  <si>
    <t>Colorado</t>
  </si>
  <si>
    <t>Washington</t>
  </si>
  <si>
    <t>New Hampshire</t>
  </si>
  <si>
    <t>Massachusetts</t>
  </si>
  <si>
    <t>Oregon</t>
  </si>
  <si>
    <t>Maine</t>
  </si>
  <si>
    <t>South Dakota</t>
  </si>
  <si>
    <t>New Mexico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</si>
  <si>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</si>
  <si>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</si>
  <si>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</si>
  <si>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</si>
  <si>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</si>
  <si>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</si>
  <si>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</si>
  <si>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</si>
  <si>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date range</t>
  </si>
  <si>
    <t xml:space="preserve"> (2/1/24 - 2/28/25)</t>
  </si>
  <si>
    <t>Hamburger</t>
  </si>
  <si>
    <t>Milkshake</t>
  </si>
  <si>
    <t>Breakup</t>
  </si>
  <si>
    <t>State</t>
  </si>
  <si>
    <t>Sales Region</t>
  </si>
  <si>
    <t>Northwest</t>
  </si>
  <si>
    <t>Northcentral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</si>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</sst>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8" fillId="33" borderId="0" xfId="0" applyFont="1" applyFill="1"/>
    <xf numFmtId="0" fontId="0" fillId="34" borderId="0" xfId="0" applyFill="1" applyAlignment="1">
      <alignment horizontal="center"/>
    </xf>
    <xf numFmtId="0" fontId="0" fillId="35" borderId="0" xfId="0" applyFill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0.64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0.7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8-49AA-981B-E759D2A5CA32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0.22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8-49AA-981B-E759D2A5C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538416"/>
        <c:axId val="411788880"/>
      </c:barChart>
      <c:catAx>
        <c:axId val="46553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788880"/>
        <c:crosses val="autoZero"/>
        <c:auto val="1"/>
        <c:lblAlgn val="ctr"/>
        <c:lblOffset val="100"/>
        <c:noMultiLvlLbl val="0"/>
      </c:catAx>
      <c:valAx>
        <c:axId val="4117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3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7</xdr:row>
      <xdr:rowOff>179070</xdr:rowOff>
    </xdr:from>
    <xdr:to>
      <xdr:col>13</xdr:col>
      <xdr:colOff>102870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ACEF6-CECB-F294-DE1F-59EED916A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lexus White" refreshedDate="46315.624095833336" createdVersion="8" refreshedVersion="8" minRefreshableVersion="3" recordCount="10" xr:uid="{07FD4B88-9719-4DEA-A9DE-265E0E4D5EC0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central"/>
      </sharedItems>
    </cacheField>
    <cacheField name="Hamburger" numFmtId="9">
      <sharedItems containsSemiMixedTypes="0" containsString="0" containsNumber="1" minValue="0.64" maxValue="0.76"/>
    </cacheField>
    <cacheField name="Milkshake" numFmtId="9">
      <sharedItems containsSemiMixedTypes="0" containsString="0" containsNumber="1" minValue="0.14000000000000001" maxValue="0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7"/>
    <n v="0.17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9"/>
  </r>
  <r>
    <x v="7"/>
    <x v="1"/>
    <n v="0.68"/>
    <n v="0.18"/>
  </r>
  <r>
    <x v="8"/>
    <x v="1"/>
    <n v="0.66"/>
    <n v="0.2"/>
  </r>
  <r>
    <x v="9"/>
    <x v="1"/>
    <n v="0.64"/>
    <n v="0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AE629-4085-4E58-9A87-E38C76FDD2B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318F-4C67-44E4-A33F-6332AFD15D99}">
  <dimension ref="A1:K52"/>
  <sheetViews>
    <sheetView workbookViewId="0">
      <pane ySplit="1" topLeftCell="A23" activePane="bottomLeft" state="frozen"/>
      <selection pane="bottomLeft" activeCell="B24" sqref="B24"/>
    </sheetView>
  </sheetViews>
  <sheetFormatPr defaultRowHeight="14.4" x14ac:dyDescent="0.3"/>
  <cols>
    <col min="1" max="1" width="12.109375" customWidth="1"/>
    <col min="2" max="2" width="17.6640625" customWidth="1"/>
    <col min="3" max="3" width="12.6640625" customWidth="1"/>
    <col min="4" max="4" width="11.6640625" customWidth="1"/>
    <col min="5" max="5" width="10.44140625" customWidth="1"/>
    <col min="7" max="7" width="13.109375" customWidth="1"/>
    <col min="10" max="10" width="9.6640625" customWidth="1"/>
    <col min="11" max="11" width="17.664062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F1" s="2"/>
      <c r="G1" s="4" t="s">
        <v>52</v>
      </c>
      <c r="H1" s="5">
        <f>COUNTA(B2:B52)</f>
        <v>51</v>
      </c>
      <c r="I1" s="7"/>
      <c r="J1" s="6" t="s">
        <v>54</v>
      </c>
      <c r="K1" s="6" t="s">
        <v>55</v>
      </c>
    </row>
    <row r="2" spans="1:11" x14ac:dyDescent="0.3">
      <c r="A2">
        <v>1</v>
      </c>
      <c r="B2" t="s">
        <v>4</v>
      </c>
      <c r="C2" s="1">
        <v>0.65</v>
      </c>
      <c r="D2" s="1">
        <v>0.24</v>
      </c>
      <c r="E2" s="1">
        <v>0.11</v>
      </c>
      <c r="G2" s="3"/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21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16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29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38</v>
      </c>
      <c r="C7" s="1">
        <v>0.69</v>
      </c>
      <c r="D7" s="1">
        <v>0.17</v>
      </c>
      <c r="E7" s="1">
        <v>0.14000000000000001</v>
      </c>
    </row>
    <row r="8" spans="1:11" x14ac:dyDescent="0.3">
      <c r="A8">
        <v>7</v>
      </c>
      <c r="B8" t="s">
        <v>22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25</v>
      </c>
      <c r="C11" s="1">
        <v>0.63</v>
      </c>
      <c r="D11" s="1">
        <v>0.22</v>
      </c>
      <c r="E11" s="1">
        <v>0.15</v>
      </c>
    </row>
    <row r="12" spans="1:11" x14ac:dyDescent="0.3">
      <c r="A12">
        <v>11</v>
      </c>
      <c r="B12" t="s">
        <v>15</v>
      </c>
      <c r="C12" s="1">
        <v>0.64</v>
      </c>
      <c r="D12" s="1">
        <v>0.22</v>
      </c>
      <c r="E12" s="1">
        <v>0.14000000000000001</v>
      </c>
    </row>
    <row r="13" spans="1:11" x14ac:dyDescent="0.3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8</v>
      </c>
      <c r="C15" s="1">
        <v>0.62</v>
      </c>
      <c r="D15" s="1">
        <v>0.23</v>
      </c>
      <c r="E15" s="1">
        <v>0.15</v>
      </c>
    </row>
    <row r="16" spans="1:11" x14ac:dyDescent="0.3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33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27</v>
      </c>
      <c r="C18" s="1">
        <v>0.65</v>
      </c>
      <c r="D18" s="1">
        <v>0.2</v>
      </c>
      <c r="E18" s="1">
        <v>0.15</v>
      </c>
    </row>
    <row r="19" spans="1:5" x14ac:dyDescent="0.3">
      <c r="A19">
        <v>18</v>
      </c>
      <c r="B19" t="s">
        <v>3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37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43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17</v>
      </c>
      <c r="C22" s="1">
        <v>0.62</v>
      </c>
      <c r="D22" s="1">
        <v>0.24</v>
      </c>
      <c r="E22" s="1">
        <v>0.14000000000000001</v>
      </c>
    </row>
    <row r="23" spans="1:5" x14ac:dyDescent="0.3">
      <c r="A23">
        <v>22</v>
      </c>
      <c r="B23" t="s">
        <v>41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14</v>
      </c>
      <c r="C24" s="1">
        <v>0.64</v>
      </c>
      <c r="D24" s="1">
        <v>0.22</v>
      </c>
      <c r="E24" s="1">
        <v>0.14000000000000001</v>
      </c>
    </row>
    <row r="25" spans="1:5" x14ac:dyDescent="0.3">
      <c r="A25">
        <v>24</v>
      </c>
      <c r="B25" t="s">
        <v>35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23</v>
      </c>
      <c r="C26" s="1">
        <v>0.68</v>
      </c>
      <c r="D26" s="1">
        <v>0.21</v>
      </c>
      <c r="E26" s="1">
        <v>0.11</v>
      </c>
    </row>
    <row r="27" spans="1:5" x14ac:dyDescent="0.3">
      <c r="A27">
        <v>26</v>
      </c>
      <c r="B27" t="s">
        <v>18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32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26</v>
      </c>
      <c r="C30" s="1">
        <v>0.68</v>
      </c>
      <c r="D30" s="1">
        <v>0.19</v>
      </c>
      <c r="E30" s="1">
        <v>0.13</v>
      </c>
    </row>
    <row r="31" spans="1:5" x14ac:dyDescent="0.3">
      <c r="A31">
        <v>30</v>
      </c>
      <c r="B31" t="s">
        <v>40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28</v>
      </c>
      <c r="C32" s="1">
        <v>0.62</v>
      </c>
      <c r="D32" s="1">
        <v>0.22</v>
      </c>
      <c r="E32" s="1">
        <v>0.16</v>
      </c>
    </row>
    <row r="33" spans="1:5" x14ac:dyDescent="0.3">
      <c r="A33">
        <v>32</v>
      </c>
      <c r="B33" t="s">
        <v>45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36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1</v>
      </c>
      <c r="C35" s="1">
        <v>0.63</v>
      </c>
      <c r="D35" s="1">
        <v>0.23</v>
      </c>
      <c r="E35" s="1">
        <v>0.14000000000000001</v>
      </c>
    </row>
    <row r="36" spans="1:5" x14ac:dyDescent="0.3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9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13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42</v>
      </c>
      <c r="C39" s="1">
        <v>0.7</v>
      </c>
      <c r="D39" s="1">
        <v>0.17</v>
      </c>
      <c r="E39" s="1">
        <v>0.13</v>
      </c>
    </row>
    <row r="40" spans="1:5" x14ac:dyDescent="0.3">
      <c r="A40">
        <v>39</v>
      </c>
      <c r="B40" t="s">
        <v>24</v>
      </c>
      <c r="C40" s="1">
        <v>0.63</v>
      </c>
      <c r="D40" s="1">
        <v>0.22</v>
      </c>
      <c r="E40" s="1">
        <v>0.15</v>
      </c>
    </row>
    <row r="41" spans="1:5" x14ac:dyDescent="0.3">
      <c r="A41">
        <v>40</v>
      </c>
      <c r="B41" t="s">
        <v>12</v>
      </c>
      <c r="C41" s="1">
        <v>0.66</v>
      </c>
      <c r="D41" s="1">
        <v>0.22</v>
      </c>
      <c r="E41" s="1">
        <v>0.12</v>
      </c>
    </row>
    <row r="42" spans="1:5" x14ac:dyDescent="0.3">
      <c r="A42">
        <v>41</v>
      </c>
      <c r="B42" t="s">
        <v>2</v>
      </c>
      <c r="C42" s="1">
        <v>0.66</v>
      </c>
      <c r="D42" s="1">
        <v>0.22</v>
      </c>
      <c r="E42" s="1">
        <v>0.12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20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10</v>
      </c>
      <c r="C46" s="1">
        <v>0.67</v>
      </c>
      <c r="D46" s="1">
        <v>0.2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19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39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6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8" xr:uid="{A87A318F-4C67-44E4-A33F-6332AFD15D99}">
    <sortState xmlns:xlrd2="http://schemas.microsoft.com/office/spreadsheetml/2017/richdata2" ref="A2:E52">
      <sortCondition ref="B1:B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298E-012C-4504-A341-45DFDF870CEE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4.4" x14ac:dyDescent="0.3"/>
  <sheetData>
    <row r="1" spans="1:52" x14ac:dyDescent="0.3">
      <c r="A1" t="s">
        <v>0</v>
      </c>
      <c r="B1" t="s">
        <v>4</v>
      </c>
      <c r="C1" t="s">
        <v>50</v>
      </c>
      <c r="D1" t="s">
        <v>21</v>
      </c>
      <c r="E1" t="s">
        <v>16</v>
      </c>
      <c r="F1" t="s">
        <v>29</v>
      </c>
      <c r="G1" t="s">
        <v>38</v>
      </c>
      <c r="H1" t="s">
        <v>22</v>
      </c>
      <c r="I1" t="s">
        <v>11</v>
      </c>
      <c r="J1" t="s">
        <v>51</v>
      </c>
      <c r="K1" t="s">
        <v>25</v>
      </c>
      <c r="L1" t="s">
        <v>15</v>
      </c>
      <c r="M1" t="s">
        <v>49</v>
      </c>
      <c r="N1" t="s">
        <v>31</v>
      </c>
      <c r="O1" t="s">
        <v>8</v>
      </c>
      <c r="P1" t="s">
        <v>7</v>
      </c>
      <c r="Q1" t="s">
        <v>33</v>
      </c>
      <c r="R1" t="s">
        <v>27</v>
      </c>
      <c r="S1" t="s">
        <v>3</v>
      </c>
      <c r="T1" t="s">
        <v>37</v>
      </c>
      <c r="U1" t="s">
        <v>43</v>
      </c>
      <c r="V1" t="s">
        <v>17</v>
      </c>
      <c r="W1" t="s">
        <v>41</v>
      </c>
      <c r="X1" t="s">
        <v>14</v>
      </c>
      <c r="Y1" t="s">
        <v>35</v>
      </c>
      <c r="Z1" t="s">
        <v>23</v>
      </c>
      <c r="AA1" t="s">
        <v>18</v>
      </c>
      <c r="AB1" t="s">
        <v>48</v>
      </c>
      <c r="AC1" t="s">
        <v>32</v>
      </c>
      <c r="AD1" t="s">
        <v>26</v>
      </c>
      <c r="AE1" t="s">
        <v>40</v>
      </c>
      <c r="AF1" t="s">
        <v>28</v>
      </c>
      <c r="AG1" t="s">
        <v>45</v>
      </c>
      <c r="AH1" t="s">
        <v>36</v>
      </c>
      <c r="AI1" t="s">
        <v>1</v>
      </c>
      <c r="AJ1" t="s">
        <v>34</v>
      </c>
      <c r="AK1" t="s">
        <v>9</v>
      </c>
      <c r="AL1" t="s">
        <v>13</v>
      </c>
      <c r="AM1" t="s">
        <v>42</v>
      </c>
      <c r="AN1" t="s">
        <v>24</v>
      </c>
      <c r="AO1" t="s">
        <v>12</v>
      </c>
      <c r="AP1" t="s">
        <v>2</v>
      </c>
      <c r="AQ1" t="s">
        <v>44</v>
      </c>
      <c r="AR1" t="s">
        <v>5</v>
      </c>
      <c r="AS1" t="s">
        <v>20</v>
      </c>
      <c r="AT1" t="s">
        <v>10</v>
      </c>
      <c r="AU1" t="s">
        <v>47</v>
      </c>
      <c r="AV1" t="s">
        <v>19</v>
      </c>
      <c r="AW1" t="s">
        <v>39</v>
      </c>
      <c r="AX1" t="s">
        <v>6</v>
      </c>
      <c r="AY1" t="s">
        <v>30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0.66</v>
      </c>
      <c r="E2" s="1">
        <v>0.67</v>
      </c>
      <c r="F2" s="1">
        <v>0.65</v>
      </c>
      <c r="G2" s="1">
        <v>0.69</v>
      </c>
      <c r="H2" s="1">
        <v>0.64</v>
      </c>
      <c r="I2" s="1">
        <v>0.62</v>
      </c>
      <c r="J2" s="1">
        <v>0.67</v>
      </c>
      <c r="K2" s="1">
        <v>0.63</v>
      </c>
      <c r="L2" s="1">
        <v>0.64</v>
      </c>
      <c r="M2" s="1">
        <v>0.73</v>
      </c>
      <c r="N2" s="1">
        <v>0.67</v>
      </c>
      <c r="O2" s="1">
        <v>0.62</v>
      </c>
      <c r="P2" s="1">
        <v>0.64</v>
      </c>
      <c r="Q2" s="1">
        <v>0.68</v>
      </c>
      <c r="R2" s="1">
        <v>0.65</v>
      </c>
      <c r="S2" s="1">
        <v>0.64</v>
      </c>
      <c r="T2" s="1">
        <v>0.68</v>
      </c>
      <c r="U2" s="1">
        <v>0.68</v>
      </c>
      <c r="V2" s="1">
        <v>0.62</v>
      </c>
      <c r="W2" s="1">
        <v>0.61</v>
      </c>
      <c r="X2" s="1">
        <v>0.64</v>
      </c>
      <c r="Y2" s="1">
        <v>0.68</v>
      </c>
      <c r="Z2" s="1">
        <v>0.68</v>
      </c>
      <c r="AA2" s="1">
        <v>0.66</v>
      </c>
      <c r="AB2" s="1">
        <v>0.75</v>
      </c>
      <c r="AC2" s="1">
        <v>0.69</v>
      </c>
      <c r="AD2" s="1">
        <v>0.68</v>
      </c>
      <c r="AE2" s="1">
        <v>0.66</v>
      </c>
      <c r="AF2" s="1">
        <v>0.62</v>
      </c>
      <c r="AG2" s="1">
        <v>0.68</v>
      </c>
      <c r="AH2" s="1">
        <v>0.63</v>
      </c>
      <c r="AI2" s="1">
        <v>0.63</v>
      </c>
      <c r="AJ2" s="1">
        <v>0.69</v>
      </c>
      <c r="AK2" s="1">
        <v>0.63</v>
      </c>
      <c r="AL2" s="1">
        <v>0.68</v>
      </c>
      <c r="AM2" s="1">
        <v>0.7</v>
      </c>
      <c r="AN2" s="1">
        <v>0.63</v>
      </c>
      <c r="AO2" s="1">
        <v>0.66</v>
      </c>
      <c r="AP2" s="1">
        <v>0.66</v>
      </c>
      <c r="AQ2" s="1">
        <v>0.76</v>
      </c>
      <c r="AR2" s="1">
        <v>0.66</v>
      </c>
      <c r="AS2" s="1">
        <v>0.68</v>
      </c>
      <c r="AT2" s="1">
        <v>0.67</v>
      </c>
      <c r="AU2" s="1">
        <v>0.69</v>
      </c>
      <c r="AV2" s="1">
        <v>0.63</v>
      </c>
      <c r="AW2" s="1">
        <v>0.67</v>
      </c>
      <c r="AX2" s="1">
        <v>0.63</v>
      </c>
      <c r="AY2" s="1">
        <v>0.66</v>
      </c>
      <c r="AZ2" s="1">
        <v>0.71</v>
      </c>
    </row>
    <row r="3" spans="1:52" x14ac:dyDescent="0.3">
      <c r="A3" t="s">
        <v>57</v>
      </c>
      <c r="B3" s="1">
        <v>0.24</v>
      </c>
      <c r="C3" s="1">
        <v>0.15</v>
      </c>
      <c r="D3" s="1">
        <v>0.21</v>
      </c>
      <c r="E3" s="1">
        <v>0.21</v>
      </c>
      <c r="F3" s="1">
        <v>0.2</v>
      </c>
      <c r="G3" s="1">
        <v>0.17</v>
      </c>
      <c r="H3" s="1">
        <v>0.22</v>
      </c>
      <c r="I3" s="1">
        <v>0.25</v>
      </c>
      <c r="J3" s="1">
        <v>0.17</v>
      </c>
      <c r="K3" s="1">
        <v>0.22</v>
      </c>
      <c r="L3" s="1">
        <v>0.22</v>
      </c>
      <c r="M3" s="1">
        <v>0.14000000000000001</v>
      </c>
      <c r="N3" s="1">
        <v>0.19</v>
      </c>
      <c r="O3" s="1">
        <v>0.23</v>
      </c>
      <c r="P3" s="1">
        <v>0.23</v>
      </c>
      <c r="Q3" s="1">
        <v>0.19</v>
      </c>
      <c r="R3" s="1">
        <v>0.2</v>
      </c>
      <c r="S3" s="1">
        <v>0.23</v>
      </c>
      <c r="T3" s="1">
        <v>0.19</v>
      </c>
      <c r="U3" s="1">
        <v>0.19</v>
      </c>
      <c r="V3" s="1">
        <v>0.24</v>
      </c>
      <c r="W3" s="1">
        <v>0.21</v>
      </c>
      <c r="X3" s="1">
        <v>0.22</v>
      </c>
      <c r="Y3" s="1">
        <v>0.18</v>
      </c>
      <c r="Z3" s="1">
        <v>0.21</v>
      </c>
      <c r="AA3" s="1">
        <v>0.2</v>
      </c>
      <c r="AB3" s="1">
        <v>0.14000000000000001</v>
      </c>
      <c r="AC3" s="1">
        <v>0.19</v>
      </c>
      <c r="AD3" s="1">
        <v>0.19</v>
      </c>
      <c r="AE3" s="1">
        <v>0.2</v>
      </c>
      <c r="AF3" s="1">
        <v>0.22</v>
      </c>
      <c r="AG3" s="1">
        <v>0.17</v>
      </c>
      <c r="AH3" s="1">
        <v>0.21</v>
      </c>
      <c r="AI3" s="1">
        <v>0.23</v>
      </c>
      <c r="AJ3" s="1">
        <v>0.19</v>
      </c>
      <c r="AK3" s="1">
        <v>0.23</v>
      </c>
      <c r="AL3" s="1">
        <v>0.2</v>
      </c>
      <c r="AM3" s="1">
        <v>0.17</v>
      </c>
      <c r="AN3" s="1">
        <v>0.22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0.11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0.13</v>
      </c>
      <c r="Q4" s="1">
        <v>0.13</v>
      </c>
      <c r="R4" s="1">
        <v>0.15</v>
      </c>
      <c r="S4" s="1">
        <v>0.13</v>
      </c>
      <c r="T4" s="1">
        <v>0.13</v>
      </c>
      <c r="U4" s="1">
        <v>0.13</v>
      </c>
      <c r="V4" s="1">
        <v>0.14000000000000001</v>
      </c>
      <c r="W4" s="1">
        <v>0.18</v>
      </c>
      <c r="X4" s="1">
        <v>0.14000000000000001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0.13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0.14000000000000001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0.12</v>
      </c>
      <c r="AP4" s="1">
        <v>0.12</v>
      </c>
      <c r="AQ4" s="1">
        <v>0.1</v>
      </c>
      <c r="AR4" s="1">
        <v>0.12</v>
      </c>
      <c r="AS4" s="1">
        <v>0.12</v>
      </c>
      <c r="AT4" s="1">
        <v>0.13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B209-D7A8-4E93-A22C-D6F1D729FAA6}">
  <dimension ref="A1:G26"/>
  <sheetViews>
    <sheetView tabSelected="1" workbookViewId="0">
      <selection activeCell="D2" sqref="D2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</cols>
  <sheetData>
    <row r="1" spans="1:7" x14ac:dyDescent="0.3">
      <c r="A1" s="8" t="s">
        <v>59</v>
      </c>
      <c r="B1" t="s">
        <v>60</v>
      </c>
      <c r="C1" t="s">
        <v>56</v>
      </c>
      <c r="D1" t="s">
        <v>57</v>
      </c>
    </row>
    <row r="2" spans="1:7" x14ac:dyDescent="0.3">
      <c r="A2" s="8" t="s">
        <v>39</v>
      </c>
      <c r="B2" t="s">
        <v>61</v>
      </c>
      <c r="C2" s="9">
        <f>VLOOKUP('sales region lookup'!A2,'by search term'!B:C,2,FALSE)</f>
        <v>0.67</v>
      </c>
      <c r="D2" s="9">
        <f>_xlfn.XLOOKUP(A2, 'by search term'!B$1:B$52, 'by search term'!D$1:D$52, "not found")</f>
        <v>0.18</v>
      </c>
    </row>
    <row r="3" spans="1:7" x14ac:dyDescent="0.3">
      <c r="A3" t="s">
        <v>42</v>
      </c>
      <c r="B3" t="s">
        <v>61</v>
      </c>
      <c r="C3" s="9">
        <f>VLOOKUP('sales region lookup'!A3,'by search term'!B:C,2,FALSE)</f>
        <v>0.7</v>
      </c>
      <c r="D3" s="9">
        <f>_xlfn.XLOOKUP(A3, 'by search term'!B2:B53, 'by search term'!D2:D53, "not found")</f>
        <v>0.17</v>
      </c>
    </row>
    <row r="4" spans="1:7" x14ac:dyDescent="0.3">
      <c r="A4" t="s">
        <v>31</v>
      </c>
      <c r="B4" t="s">
        <v>61</v>
      </c>
      <c r="C4" s="9">
        <f>VLOOKUP('sales region lookup'!A4,'by search term'!B:C,2,FALSE)</f>
        <v>0.67</v>
      </c>
      <c r="D4" s="9">
        <f>_xlfn.XLOOKUP(A4, 'by search term'!B3:B54, 'by search term'!D3:D54, "not found")</f>
        <v>0.19</v>
      </c>
    </row>
    <row r="5" spans="1:7" x14ac:dyDescent="0.3">
      <c r="A5" t="s">
        <v>48</v>
      </c>
      <c r="B5" t="s">
        <v>61</v>
      </c>
      <c r="C5" s="9">
        <f>VLOOKUP('sales region lookup'!A5,'by search term'!B:C,2,FALSE)</f>
        <v>0.75</v>
      </c>
      <c r="D5" s="9">
        <f>_xlfn.XLOOKUP(A5, 'by search term'!B4:B55, 'by search term'!D4:D55, "not found")</f>
        <v>0.14000000000000001</v>
      </c>
    </row>
    <row r="6" spans="1:7" x14ac:dyDescent="0.3">
      <c r="A6" t="s">
        <v>34</v>
      </c>
      <c r="B6" t="s">
        <v>62</v>
      </c>
      <c r="C6" s="9">
        <f>VLOOKUP('sales region lookup'!A6,'by search term'!B:C,2,FALSE)</f>
        <v>0.69</v>
      </c>
      <c r="D6" s="9">
        <f>_xlfn.XLOOKUP(A6, 'by search term'!B5:B56, 'by search term'!D5:D56, "not found")</f>
        <v>0.19</v>
      </c>
    </row>
    <row r="7" spans="1:7" x14ac:dyDescent="0.3">
      <c r="A7" t="s">
        <v>44</v>
      </c>
      <c r="B7" t="s">
        <v>62</v>
      </c>
      <c r="C7" s="9">
        <f>VLOOKUP('sales region lookup'!A7,'by search term'!B:C,2,FALSE)</f>
        <v>0.76</v>
      </c>
      <c r="D7" s="9">
        <f>_xlfn.XLOOKUP(A7, 'by search term'!B6:B57, 'by search term'!D6:D57, "not found")</f>
        <v>0.14000000000000001</v>
      </c>
      <c r="G7" t="str">
        <f>TRIM(F6)</f>
        <v/>
      </c>
    </row>
    <row r="8" spans="1:7" x14ac:dyDescent="0.3">
      <c r="A8" t="s">
        <v>32</v>
      </c>
      <c r="B8" t="s">
        <v>62</v>
      </c>
      <c r="C8" s="9">
        <f>VLOOKUP('sales region lookup'!A8,'by search term'!B:C,2,FALSE)</f>
        <v>0.69</v>
      </c>
      <c r="D8" s="9">
        <f>_xlfn.XLOOKUP(A8, 'by search term'!B7:B58, 'by search term'!D7:D58, "not found")</f>
        <v>0.19</v>
      </c>
    </row>
    <row r="9" spans="1:7" x14ac:dyDescent="0.3">
      <c r="A9" t="s">
        <v>35</v>
      </c>
      <c r="B9" t="s">
        <v>62</v>
      </c>
      <c r="C9" s="9">
        <f>VLOOKUP('sales region lookup'!A9,'by search term'!B:C,2,FALSE)</f>
        <v>0.68</v>
      </c>
      <c r="D9" s="9">
        <f>_xlfn.XLOOKUP(A9, 'by search term'!B8:B59, 'by search term'!D8:D59, "not found")</f>
        <v>0.18</v>
      </c>
    </row>
    <row r="10" spans="1:7" x14ac:dyDescent="0.3">
      <c r="A10" t="s">
        <v>30</v>
      </c>
      <c r="B10" t="s">
        <v>62</v>
      </c>
      <c r="C10" s="9">
        <f>VLOOKUP('sales region lookup'!A10,'by search term'!B:C,2,FALSE)</f>
        <v>0.66</v>
      </c>
      <c r="D10" s="9">
        <f>_xlfn.XLOOKUP(A10, 'by search term'!B9:B60, 'by search term'!D9:D60, "not found")</f>
        <v>0.2</v>
      </c>
    </row>
    <row r="11" spans="1:7" x14ac:dyDescent="0.3">
      <c r="A11" t="s">
        <v>14</v>
      </c>
      <c r="B11" t="s">
        <v>62</v>
      </c>
      <c r="C11" s="9">
        <f>VLOOKUP('sales region lookup'!A11,'by search term'!B:C,2,FALSE)</f>
        <v>0.64</v>
      </c>
      <c r="D11" s="9">
        <f>_xlfn.XLOOKUP(A11, 'by search term'!B10:B61, 'by search term'!D10:D61, "not found")</f>
        <v>0.22</v>
      </c>
    </row>
    <row r="13" spans="1:7" x14ac:dyDescent="0.3">
      <c r="A13" s="10" t="s">
        <v>60</v>
      </c>
      <c r="B13" t="s">
        <v>67</v>
      </c>
    </row>
    <row r="15" spans="1:7" x14ac:dyDescent="0.3">
      <c r="A15" s="10" t="s">
        <v>63</v>
      </c>
      <c r="B15" t="s">
        <v>65</v>
      </c>
      <c r="C15" t="s">
        <v>66</v>
      </c>
    </row>
    <row r="16" spans="1:7" x14ac:dyDescent="0.3">
      <c r="A16" s="11" t="s">
        <v>31</v>
      </c>
      <c r="B16" s="1">
        <v>0.67</v>
      </c>
      <c r="C16" s="1">
        <v>0.19</v>
      </c>
    </row>
    <row r="17" spans="1:3" x14ac:dyDescent="0.3">
      <c r="A17" s="11" t="s">
        <v>14</v>
      </c>
      <c r="B17" s="1">
        <v>0.64</v>
      </c>
      <c r="C17" s="1">
        <v>0.22</v>
      </c>
    </row>
    <row r="18" spans="1:3" x14ac:dyDescent="0.3">
      <c r="A18" s="11" t="s">
        <v>35</v>
      </c>
      <c r="B18" s="1">
        <v>0.68</v>
      </c>
      <c r="C18" s="1">
        <v>0.18</v>
      </c>
    </row>
    <row r="19" spans="1:3" x14ac:dyDescent="0.3">
      <c r="A19" s="11" t="s">
        <v>48</v>
      </c>
      <c r="B19" s="1">
        <v>0.75</v>
      </c>
      <c r="C19" s="1">
        <v>0.14000000000000001</v>
      </c>
    </row>
    <row r="20" spans="1:3" x14ac:dyDescent="0.3">
      <c r="A20" s="11" t="s">
        <v>32</v>
      </c>
      <c r="B20" s="1">
        <v>0.69</v>
      </c>
      <c r="C20" s="1">
        <v>0.19</v>
      </c>
    </row>
    <row r="21" spans="1:3" x14ac:dyDescent="0.3">
      <c r="A21" s="11" t="s">
        <v>34</v>
      </c>
      <c r="B21" s="1">
        <v>0.69</v>
      </c>
      <c r="C21" s="1">
        <v>0.19</v>
      </c>
    </row>
    <row r="22" spans="1:3" x14ac:dyDescent="0.3">
      <c r="A22" s="11" t="s">
        <v>42</v>
      </c>
      <c r="B22" s="1">
        <v>0.7</v>
      </c>
      <c r="C22" s="1">
        <v>0.17</v>
      </c>
    </row>
    <row r="23" spans="1:3" x14ac:dyDescent="0.3">
      <c r="A23" s="11" t="s">
        <v>44</v>
      </c>
      <c r="B23" s="1">
        <v>0.76</v>
      </c>
      <c r="C23" s="1">
        <v>0.14000000000000001</v>
      </c>
    </row>
    <row r="24" spans="1:3" x14ac:dyDescent="0.3">
      <c r="A24" s="11" t="s">
        <v>39</v>
      </c>
      <c r="B24" s="1">
        <v>0.67</v>
      </c>
      <c r="C24" s="1">
        <v>0.18</v>
      </c>
    </row>
    <row r="25" spans="1:3" x14ac:dyDescent="0.3">
      <c r="A25" s="11" t="s">
        <v>30</v>
      </c>
      <c r="B25" s="1">
        <v>0.66</v>
      </c>
      <c r="C25" s="1">
        <v>0.2</v>
      </c>
    </row>
    <row r="26" spans="1:3" x14ac:dyDescent="0.3">
      <c r="A26" s="11" t="s">
        <v>64</v>
      </c>
      <c r="B26" s="1">
        <v>6.91</v>
      </c>
      <c r="C26" s="1">
        <v>1.7999999999999998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Aalexus White</dc:creator>
  <cp:lastModifiedBy>aalexus white</cp:lastModifiedBy>
  <dcterms:created xsi:type="dcterms:W3CDTF">2026-10-18T23:11:15Z</dcterms:created>
  <dcterms:modified xsi:type="dcterms:W3CDTF">2026-10-20T19:08:51Z</dcterms:modified>
</cp:coreProperties>
</file>